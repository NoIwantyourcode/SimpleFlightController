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FEF18AB7-1FF0-BB48-A07B-351F7CC8A3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LCPCB BOM Tool - BOM Match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5" i="1" l="1" a="1"/>
  <c r="S45" i="1"/>
  <c r="S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<sst xmlns="http://schemas.openxmlformats.org/spreadsheetml/2006/main" count="646" uniqueCount="370">
  <si>
    <t>JLCPCB BOM Tool - BOM Matching</t>
  </si>
  <si>
    <t>BOM name：bom-JLCPCB Assembly Order.xlsx</t>
  </si>
  <si>
    <t>Download Time：2025-12-23 12:14:10</t>
  </si>
  <si>
    <t>Est. Total Price：51.2548</t>
  </si>
  <si>
    <t>* Our matching results are updated in real-time, but stock and prices may change. 
If it's been over 24 hours, please re-match before placing your order.</t>
  </si>
  <si>
    <t>Your BOM</t>
  </si>
  <si>
    <t>Matched Parts</t>
  </si>
  <si>
    <t>Order Information</t>
  </si>
  <si>
    <t>Top Designator</t>
  </si>
  <si>
    <t>Bottom 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</si>
  <si>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</si>
  <si>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</si>
  <si>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</si>
  <si>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</si>
  <si>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</si>
  <si>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</si>
  <si>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</si>
  <si>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</si>
  <si>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</si>
  <si>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</si>
  <si>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</si>
  <si>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</si>
  <si>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</si>
  <si>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</si>
  <si>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C1,C45,C46,C47</t>
  </si>
  <si>
    <t/>
  </si>
  <si>
    <t>1uF</t>
  </si>
  <si>
    <t>0402</t>
  </si>
  <si>
    <t>Select by System</t>
  </si>
  <si>
    <t>CL05A105KA5NQNC</t>
  </si>
  <si>
    <t>Samsung Electro-Mechanics</t>
  </si>
  <si>
    <t>1uF 25V X5R ±10% 0402 Multilayer Ceramic Capacitors MLCC - SMD/SMT ROHS</t>
  </si>
  <si>
    <t>Multilayer Ceramic Capacitors MLCC - SMD/SMT</t>
  </si>
  <si>
    <t>C52923</t>
  </si>
  <si>
    <t>https://jlcpcb.com/partdetail/53938-CL05A105KA5NQNC/C52923</t>
  </si>
  <si>
    <t>Basic</t>
  </si>
  <si>
    <t>20 JLCPCB</t>
  </si>
  <si>
    <t>C2,C48,C6</t>
  </si>
  <si>
    <t>10uF</t>
  </si>
  <si>
    <t>CL05A106MQ5NUNC</t>
  </si>
  <si>
    <t>10uF 6.3V X5R ±20% 0402 Multilayer Ceramic Capacitors MLCC - SMD/SMT ROHS</t>
  </si>
  <si>
    <t>C15525</t>
  </si>
  <si>
    <t>https://jlcpcb.com/partdetail/16204-CL05A106MQ5NUNC/C15525</t>
  </si>
  <si>
    <t>C3</t>
  </si>
  <si>
    <t>44uF</t>
  </si>
  <si>
    <t>0805</t>
  </si>
  <si>
    <t>Select by Customer</t>
  </si>
  <si>
    <t>CL21A476MQYNNNE</t>
  </si>
  <si>
    <t>47uF 6.3V X5R ±20% 0805 Multilayer Ceramic Capacitors MLCC - SMD/SMT ROHS</t>
  </si>
  <si>
    <t>C16780</t>
  </si>
  <si>
    <t>https://jlcpcb.com/partdetail/17464-CL21A476MQYNNNE/C16780</t>
  </si>
  <si>
    <t>8 JLCPCB</t>
  </si>
  <si>
    <t>C5</t>
  </si>
  <si>
    <t>47nF</t>
  </si>
  <si>
    <t>0201</t>
  </si>
  <si>
    <t>GRM033R60J473KE19D</t>
  </si>
  <si>
    <t>Murata Electronics</t>
  </si>
  <si>
    <t>47nF 6.3V X5R ±10% 0201 Multilayer Ceramic Capacitors MLCC - SMD/SMT ROHS</t>
  </si>
  <si>
    <t>C85925</t>
  </si>
  <si>
    <t>https://jlcpcb.com/partdetail/MurataElectronics-GRM033R60J473KE19D/C85925</t>
  </si>
  <si>
    <t>Extended</t>
  </si>
  <si>
    <t>C8,C9</t>
  </si>
  <si>
    <t>CL21A106KAYNNNE</t>
  </si>
  <si>
    <t>10uF 25V X5R ±10% 0805 Multilayer Ceramic Capacitors MLCC - SMD/SMT ROHS</t>
  </si>
  <si>
    <t>C15850</t>
  </si>
  <si>
    <t>https://jlcpcb.com/partdetail/16532-CL21A106KAYNNNE/C15850</t>
  </si>
  <si>
    <t>C10,C11,C4</t>
  </si>
  <si>
    <t>0603</t>
  </si>
  <si>
    <t>CL10A106KP8NNNC</t>
  </si>
  <si>
    <t>10V 10uF X5R ±10% 0603 Multilayer Ceramic Capacitors MLCC - SMD/SMT ROHS</t>
  </si>
  <si>
    <t>C19702</t>
  </si>
  <si>
    <t>https://jlcpcb.com/partdetail/20411-CL10A106KP8NNNC/C19702</t>
  </si>
  <si>
    <t>C12,C13,C14</t>
  </si>
  <si>
    <t>22uF</t>
  </si>
  <si>
    <t>CL21A226MAQNNNE</t>
  </si>
  <si>
    <t>22uF 25V X5R ±20% 0805 Multilayer Ceramic Capacitors MLCC - SMD/SMT ROHS</t>
  </si>
  <si>
    <t>C45783</t>
  </si>
  <si>
    <t>https://jlcpcb.com/partdetail/46786-CL21A226MAQNNNE/C45783</t>
  </si>
  <si>
    <t>C15,C17,C20,C21,C22,C40,C41,C42,C43,C44,C49,C7</t>
  </si>
  <si>
    <t>100nF</t>
  </si>
  <si>
    <t>GRM033R61A104KE15D</t>
  </si>
  <si>
    <t>100nF 10V X5R ±10% 0201 Multilayer Ceramic Capacitors MLCC - SMD/SMT ROHS</t>
  </si>
  <si>
    <t>C76934</t>
  </si>
  <si>
    <t>https://jlcpcb.com/partdetail/MurataElectronics-GRM033R61A104KE15D/C76934</t>
  </si>
  <si>
    <t>36 JLCPCB</t>
  </si>
  <si>
    <t>C16</t>
  </si>
  <si>
    <t>2.2uF</t>
  </si>
  <si>
    <t>CL10A225KO8NNNC</t>
  </si>
  <si>
    <t>16V 2.2uF X5R ±10% 0603 Multilayer Ceramic Capacitors MLCC - SMD/SMT ROHS</t>
  </si>
  <si>
    <t>C23630</t>
  </si>
  <si>
    <t>https://jlcpcb.com/partdetail/24366-CL10A225KO8NNNC/C23630</t>
  </si>
  <si>
    <t>C18,C19</t>
  </si>
  <si>
    <t>CL05A226MQ5QUNC</t>
  </si>
  <si>
    <t>22uF 6.3V X5R ±20% 0402 Multilayer Ceramic Capacitors MLCC - SMD/SMT ROHS</t>
  </si>
  <si>
    <t>C105226</t>
  </si>
  <si>
    <t>https://jlcpcb.com/partdetail/106441-CL05A226MQ5QUNC/C105226</t>
  </si>
  <si>
    <t>C35,C36</t>
  </si>
  <si>
    <t>20pF</t>
  </si>
  <si>
    <t>GRM0335C1H200JA01D</t>
  </si>
  <si>
    <t>20pF 50V C0G ±5% 0201 Multilayer Ceramic Capacitors MLCC - SMD/SMT ROHS</t>
  </si>
  <si>
    <t>C76923</t>
  </si>
  <si>
    <t>https://jlcpcb.com/partdetail/MurataElectronics-GRM0335C1H200JA01D/C76923</t>
  </si>
  <si>
    <t>C37,C38</t>
  </si>
  <si>
    <t>6.8pF</t>
  </si>
  <si>
    <t>GRM0335C1H6R8CA01D</t>
  </si>
  <si>
    <t>50V 6.8pF C0G 0201 Multilayer Ceramic Capacitors MLCC - SMD/SMT ROHS</t>
  </si>
  <si>
    <t>C85916</t>
  </si>
  <si>
    <t>https://jlcpcb.com/partdetail/MurataElectronics-GRM0335C1H6R8CA01D/C85916</t>
  </si>
  <si>
    <t>C39</t>
  </si>
  <si>
    <t>GRM033R61A225ME47D</t>
  </si>
  <si>
    <t>10V 2.2uF X5R ±20% 0201 Multilayer Ceramic Capacitors MLCC - SMD/SMT ROHS</t>
  </si>
  <si>
    <t>C319184</t>
  </si>
  <si>
    <t>https://jlcpcb.com/partdetail/300450-GRM033R61A225ME47D/C319184</t>
  </si>
  <si>
    <t>CARD1</t>
  </si>
  <si>
    <t>TF-01A</t>
  </si>
  <si>
    <t>TF-SMD_TF-01A</t>
  </si>
  <si>
    <t>Korean Hroparts Elec</t>
  </si>
  <si>
    <t>SMD</t>
  </si>
  <si>
    <t>1.85mm Connector and Ejector MicroSD Card (TF Card) Push-Push With Locating Post SMD SD Card / Memory Card Connector ROHS</t>
  </si>
  <si>
    <t>SD Card / Memory Card Connector</t>
  </si>
  <si>
    <t>C91145</t>
  </si>
  <si>
    <t>https://jlcpcb.com/partdetail/Korean_HropartsElec-TF01A/C91145</t>
  </si>
  <si>
    <t>2 JLCPCB</t>
  </si>
  <si>
    <t>D1</t>
  </si>
  <si>
    <t>LED</t>
  </si>
  <si>
    <t>Unconfirmed</t>
  </si>
  <si>
    <t>XL-1005UGC</t>
  </si>
  <si>
    <t>XINGLIGHT</t>
  </si>
  <si>
    <t>-40℃~+85℃ 120° 249mcd 25mA 3V 516nm~531nm 531nm 80mW Emerald Green Top-mount Water Clear 0402 LED Indication - Discrete ROHS</t>
  </si>
  <si>
    <t>LED Indication - Discrete</t>
  </si>
  <si>
    <t>1.The comment (XL-1005UGC) of this part does not match the one (LED) provided in your BOM. Please confirm;</t>
  </si>
  <si>
    <t>C965793</t>
  </si>
  <si>
    <t>https://jlcpcb.com/partdetail/XINGLIGHT-XL1005UGC/C965793</t>
  </si>
  <si>
    <t>J1</t>
  </si>
  <si>
    <t>Screw_Terminal_01x02</t>
  </si>
  <si>
    <t>TerminalBlock_Xinya_XY308-2.54-2P_1x02_P2.54mm_Horizontal</t>
  </si>
  <si>
    <t>XY308-2.54-2P</t>
  </si>
  <si>
    <t>Ningbo Xinlaiya Elec.</t>
  </si>
  <si>
    <t>插件,P=2.54mm</t>
  </si>
  <si>
    <t>1 1 150V 18~26 1x2P 2 2.54mm 2P 6A Green M1.6 Through Hole Plugin,P=2.54mm Screw Terminal Blocks ROHS</t>
  </si>
  <si>
    <t>Screw Terminal Blocks</t>
  </si>
  <si>
    <t>C557685</t>
  </si>
  <si>
    <t>https://jlcpcb.com/partdetail/Ningbo_Xinlaiya_Elec-XY308_2_542P/C557685</t>
  </si>
  <si>
    <t>J2,J3</t>
  </si>
  <si>
    <t>Conn_01x03</t>
  </si>
  <si>
    <t>PinHeader_1x03_P2.54mm_Vertical</t>
  </si>
  <si>
    <t>2.54-1*3P针</t>
  </si>
  <si>
    <t>BOOMELE(Boom Precision Elec)</t>
  </si>
  <si>
    <t>-40℃~+105℃ 1 1x3P 2.54mm 2.5mm 3A 3P 3mm 6mm Black Brass Gold Pin Header Through Hole Plugin,P=2.54mm Pin Headers ROHS</t>
  </si>
  <si>
    <t>Pin Headers</t>
  </si>
  <si>
    <t>C49257</t>
  </si>
  <si>
    <t>https://jlcpcb.com/partdetail/50265-2_54_1_3P/C49257</t>
  </si>
  <si>
    <t>6 JLCPCB</t>
  </si>
  <si>
    <t>L1</t>
  </si>
  <si>
    <t>1uH</t>
  </si>
  <si>
    <t>L2520</t>
  </si>
  <si>
    <t>DFE252012F-1R0M=P2</t>
  </si>
  <si>
    <t>1008</t>
  </si>
  <si>
    <t>1uH 3.3A 4.7A 40mΩ ±20% 1008 Power Inductors ROHS</t>
  </si>
  <si>
    <t>Power Inductors</t>
  </si>
  <si>
    <t>C435392</t>
  </si>
  <si>
    <t>https://jlcpcb.com/partdetail/MurataElectronics-DFE252012F_1R0MP2/C435392</t>
  </si>
  <si>
    <t>5 JLCPCB</t>
  </si>
  <si>
    <t>L2</t>
  </si>
  <si>
    <t>1.5uH</t>
  </si>
  <si>
    <t>IND-SMD_L4.0-W4.0-A</t>
  </si>
  <si>
    <t>XGL4020-152MEC</t>
  </si>
  <si>
    <t>Coilcraft</t>
  </si>
  <si>
    <t>SMD,4x4mm</t>
  </si>
  <si>
    <t>1.5uH 14.3mΩ 7.5A AEC-Q200 Magnetic Shielded Inductor ±20% SMD,4x4mm Power Inductors ROHS</t>
  </si>
  <si>
    <t>C7417180</t>
  </si>
  <si>
    <t>https://jlcpcb.com/partdetail/Coilcraft-XGL4020152MEC/C7417180</t>
  </si>
  <si>
    <t>L3</t>
  </si>
  <si>
    <t>5.6uH</t>
  </si>
  <si>
    <t>IND-SMD_L3.0-W3.0</t>
  </si>
  <si>
    <t>CKCS3015-5.6uH/M</t>
  </si>
  <si>
    <t>CENKER</t>
  </si>
  <si>
    <t>SMD,3x3mm</t>
  </si>
  <si>
    <t>165mΩ 1A 5.6uH 900mA Magnetic Shielded Inductor ±20% SMD,3x3mm Power Inductors ROHS</t>
  </si>
  <si>
    <t>C5120864</t>
  </si>
  <si>
    <t>https://jlcpcb.com/partdetail/CENKER-CKCS3015_5_6uHM/C5120864</t>
  </si>
  <si>
    <t>15 JLCPCB</t>
  </si>
  <si>
    <t>L4</t>
  </si>
  <si>
    <t>FCM1608KF-601T03</t>
  </si>
  <si>
    <t>L0603</t>
  </si>
  <si>
    <t>TAI-TECH</t>
  </si>
  <si>
    <t>-55℃~+125℃ 1 350mA 500mΩ 600Ω@100MHz ±25% 0603 Ferrite Beads ROHS</t>
  </si>
  <si>
    <t>Ferrite Beads</t>
  </si>
  <si>
    <t>C141723</t>
  </si>
  <si>
    <t>https://jlcpcb.com/partdetail/TAITECH-FCM1608KF601T03/C141723</t>
  </si>
  <si>
    <t>R1,R2</t>
  </si>
  <si>
    <t>5.1K</t>
  </si>
  <si>
    <t>0201WMF5101TEE</t>
  </si>
  <si>
    <t>UNI-ROYAL(Uniroyal Elec)</t>
  </si>
  <si>
    <t>-55℃~+155℃ 25V 5.1kΩ 50mW Thick Film Resistor ±1% ±200ppm/℃ 0201 Chip Resistor - Surface Mount ROHS</t>
  </si>
  <si>
    <t>Chip Resistor - Surface Mount</t>
  </si>
  <si>
    <t>1.The comment (0201WMF5101TEE) of this part does not match the one (5.1K) provided in your BOM. Please confirm;</t>
  </si>
  <si>
    <t>C270344</t>
  </si>
  <si>
    <t>https://jlcpcb.com/partdetail/259874-0201WMF5101TEE/C270344</t>
  </si>
  <si>
    <t>R4</t>
  </si>
  <si>
    <t>5.23K</t>
  </si>
  <si>
    <t>RTT015231FTH</t>
  </si>
  <si>
    <t>RALEC</t>
  </si>
  <si>
    <t>-55℃~+125℃ 25V 5.23kΩ 50mW Thick Film Resistor ±1% ±200ppm/℃ 0201 Chip Resistor - Surface Mount ROHS</t>
  </si>
  <si>
    <t>1.The comment (RTT015231FTH) of this part does not match the one (5.23K) provided in your BOM. Please confirm;</t>
  </si>
  <si>
    <t>C332546</t>
  </si>
  <si>
    <t>https://jlcpcb.com/partdetail/RALEC-RTT015231FTH/C332546</t>
  </si>
  <si>
    <t>R5</t>
  </si>
  <si>
    <t>30.1K</t>
  </si>
  <si>
    <t>RC-01W3012FT</t>
  </si>
  <si>
    <t>FH (Guangdong Fenghua Advanced Tech)</t>
  </si>
  <si>
    <t>-55℃~+125℃ 25V 30.1kΩ 50mW Thick Film Resistor ±1% ±200ppm/℃ 0201 Chip Resistor - Surface Mount ROHS</t>
  </si>
  <si>
    <t>1.The comment (RC-01W3012FT) of this part does not match the one (30.1K) provided in your BOM. Please confirm;</t>
  </si>
  <si>
    <t>C320818</t>
  </si>
  <si>
    <t>https://jlcpcb.com/partdetail/301723-RC01W3012FT/C320818</t>
  </si>
  <si>
    <t>R7</t>
  </si>
  <si>
    <t>383</t>
  </si>
  <si>
    <t>0201WMF3830TEE</t>
  </si>
  <si>
    <t>-55℃~+155℃ 25V 383Ω 50mW Thick Film Resistor ±1% ±200ppm/℃ 0201 Chip Resistor - Surface Mount ROHS</t>
  </si>
  <si>
    <t>1.The comment (0201WMF3830TEE) of this part does not match the one (383) provided in your BOM. Please confirm;</t>
  </si>
  <si>
    <t>C423551</t>
  </si>
  <si>
    <t>https://jlcpcb.com/partdetail/416501-0201WMF3830TEE/C423551</t>
  </si>
  <si>
    <t>R10,R11,R12,R13,R17,R18,R19,R20,R21,R22,R23,R3,R6,R8,R9</t>
  </si>
  <si>
    <t>10K</t>
  </si>
  <si>
    <t>RC0201FR-0710KL</t>
  </si>
  <si>
    <t>YAGEO</t>
  </si>
  <si>
    <t>-55℃~+125℃ 10kΩ 25V 50mW Thick Film Resistor ±1% ±200ppm/℃ 0201 Chip Resistor - Surface Mount ROHS</t>
  </si>
  <si>
    <t>1.The comment (RC0201FR-0710KL) of this part does not match the one (10K) provided in your BOM. Please confirm;</t>
  </si>
  <si>
    <t>C106225</t>
  </si>
  <si>
    <t>https://jlcpcb.com/partdetail/YAGEO-RC0201FR0710KL/C106225</t>
  </si>
  <si>
    <t>42 JLCPCB</t>
  </si>
  <si>
    <t>R14</t>
  </si>
  <si>
    <t>100K</t>
  </si>
  <si>
    <t>0402WGF1003TCE</t>
  </si>
  <si>
    <t>-55℃~+155℃ 100kΩ 50V 62.5mW Thick Film Resistor ±1% ±100ppm/℃ 0402 Chip Resistor - Surface Mount ROHS</t>
  </si>
  <si>
    <t>1.The comment (0402WGF1003TCE) of this part does not match the one (100K) provided in your BOM. Please confirm;</t>
  </si>
  <si>
    <t>C25741</t>
  </si>
  <si>
    <t>https://jlcpcb.com/partdetail/26484-0402WGF1003TCE/C25741</t>
  </si>
  <si>
    <t>R15</t>
  </si>
  <si>
    <t>22.1K</t>
  </si>
  <si>
    <t>WR02X2212FAL</t>
  </si>
  <si>
    <t>Walsin Tech Corp</t>
  </si>
  <si>
    <t>-55℃~+125℃ 22.1kΩ 25V 50mW Thick Film Resistor ±1% ±200ppm/℃ 0201 Chip Resistor - Surface Mount ROHS</t>
  </si>
  <si>
    <t>1.The comment (WR02X2212FAL) of this part does not match the one (22.1K) provided in your BOM. Please confirm;</t>
  </si>
  <si>
    <t>C384418</t>
  </si>
  <si>
    <t>https://jlcpcb.com/partdetail/Walsin_TechCorp-WR02X2212FAL/C384418</t>
  </si>
  <si>
    <t>SW1,SW2</t>
  </si>
  <si>
    <t>TS-1088-AR02016</t>
  </si>
  <si>
    <t>SW-SMD_L3.9-W3.0-P4.45</t>
  </si>
  <si>
    <t>XUNPU</t>
  </si>
  <si>
    <t>SMD,4x3mm</t>
  </si>
  <si>
    <t>-30℃~+80℃ 1.6N 100,000 Cycles 12V 2mm 3mm 4mm 50mA Black Round Button SMD(SMT) Tab SPST Surface Mount,Vertical Without Bracket SMD,4x3mm Tactile Switches ROHS</t>
  </si>
  <si>
    <t>Tactile Switches</t>
  </si>
  <si>
    <t>C720477</t>
  </si>
  <si>
    <t>https://jlcpcb.com/partdetail/XUNPU-TS_1088AR02016/C720477</t>
  </si>
  <si>
    <t>U1</t>
  </si>
  <si>
    <t>STM32F722RETx</t>
  </si>
  <si>
    <t>LQFP-64_10x10mm_P0.5mm</t>
  </si>
  <si>
    <t>STM32F722RET6</t>
  </si>
  <si>
    <t>STMicroelectronics</t>
  </si>
  <si>
    <t>LQFP-64(10x10)</t>
  </si>
  <si>
    <t>-40℃~+85℃ 1.7V~3.6V 12bit 12bit 216MHz 256KB 32 Bit 50 512KB ARM Cortex-M7 Built-in FLASH LQFP-64(10x10) Microcontrollers (MCU/MPU/SOC) ROHS</t>
  </si>
  <si>
    <t>Microcontrollers (MCU/MPU/SOC)</t>
  </si>
  <si>
    <t>C118207</t>
  </si>
  <si>
    <t>https://jlcpcb.com/partdetail/STMicroelectronics-STM32F722RET6/C118207</t>
  </si>
  <si>
    <t>U2</t>
  </si>
  <si>
    <t>BQ25883RGER</t>
  </si>
  <si>
    <t>VFQFPN-24_L4.0-W4.0-P0.50-BL-EP2.8</t>
  </si>
  <si>
    <t>Texas Instruments</t>
  </si>
  <si>
    <t>VQFN-24-EP(4x4)</t>
  </si>
  <si>
    <t>-40℃~+85℃ 12uA 2 2.2A 3.9V~6.2V 8.4V Charging IC I2C Lithium Battery Support Support VQFN-24-EP(4x4) Battery Management ROHS</t>
  </si>
  <si>
    <t>Battery Management</t>
  </si>
  <si>
    <t>C544362</t>
  </si>
  <si>
    <t>https://jlcpcb.com/partdetail/TexasInstruments-BQ25883RGER/C544362</t>
  </si>
  <si>
    <t>U4</t>
  </si>
  <si>
    <t>BMP580</t>
  </si>
  <si>
    <t>LGA-10_L2.0-W2.0-P0.50-TL_BMP580</t>
  </si>
  <si>
    <t>Bosch Sensortec</t>
  </si>
  <si>
    <t>LGA-10(2x2)</t>
  </si>
  <si>
    <t>-40℃~+85℃ 0.5pa/K 1.73V~3.6V 30Kpa~1.25bar 5.5uA 6pa 75pa I2C LGA-10(2x2) Pressure Sensors ROHS</t>
  </si>
  <si>
    <t>Pressure Sensors</t>
  </si>
  <si>
    <t>C22391138</t>
  </si>
  <si>
    <t>https://jlcpcb.com/partdetail/BoschSensortec-BMP580/C22391138</t>
  </si>
  <si>
    <t>U5</t>
  </si>
  <si>
    <t>TPS63070RNMR</t>
  </si>
  <si>
    <t>VQFN-HR-15_L3.0-W2.5-P0.50-BL_TPS63070RNMR</t>
  </si>
  <si>
    <t>VQFN-15-HR(2.5x3)</t>
  </si>
  <si>
    <t>-40℃~+125℃@(TJ) 1 2.4MHz 2.5V~9V 2A 2V~16V 50uA Adjustable Buck-Boost Buck-Boost Built-in Yes VQFN-15-HR(2.5x3) DC-DC Converters ROHS</t>
  </si>
  <si>
    <t>DC-DC Converters</t>
  </si>
  <si>
    <t>C109322</t>
  </si>
  <si>
    <t>https://jlcpcb.com/partdetail/TexasInstruments-TPS63070RNMR/C109322</t>
  </si>
  <si>
    <t>U6</t>
  </si>
  <si>
    <t>LMR51430</t>
  </si>
  <si>
    <t>SOT-23-6</t>
  </si>
  <si>
    <t>LMR51430YFDDCR</t>
  </si>
  <si>
    <t>SOT-23-6-THIN(DDC)</t>
  </si>
  <si>
    <t>-40℃~+150℃ 1 1.1MHz 3A 4.5V~36V 40uA 600mV~34.2V Adjustable Buck Buck Built-in Yes SOT-23-6-THIN(DDC) DC-DC Converters ROHS</t>
  </si>
  <si>
    <t>C5219261</t>
  </si>
  <si>
    <t>https://jlcpcb.com/partdetail/TexasInstruments-LMR51430YFDDCR/C5219261</t>
  </si>
  <si>
    <t>U7</t>
  </si>
  <si>
    <t>LGA-14_L3.0-W2.5-P0.50-TL</t>
  </si>
  <si>
    <t>ICM-45605</t>
  </si>
  <si>
    <t>TDK InvenSense</t>
  </si>
  <si>
    <t>LGA-14</t>
  </si>
  <si>
    <t>-40℃~+85℃ 16bit 2.2uA 2KB IMU SPI X,Y,Z X,Y,Z ±16g ±2000dps LGA-14 Accelerometers ROHS</t>
  </si>
  <si>
    <t>C38673635</t>
  </si>
  <si>
    <t>https://jlcpcb.com/partdetail/TDKInvenSense-ICM45605/C38673635</t>
  </si>
  <si>
    <t>USB1</t>
  </si>
  <si>
    <t>TYPE-C16PIN2MD(073)</t>
  </si>
  <si>
    <t>USB-C-SMD_TYPE-C-6PIN-2MD-073</t>
  </si>
  <si>
    <t>TYPE-C 16PIN 2MD(073)</t>
  </si>
  <si>
    <t>SHOU HAN</t>
  </si>
  <si>
    <t>-25℃~+85℃ 1 16P 3A 5,000 times 5V Black Female Surface Mount, Right Angle Type-C SMD USB Connectors ROHS</t>
  </si>
  <si>
    <t>USB Connectors</t>
  </si>
  <si>
    <t>C2765186</t>
  </si>
  <si>
    <t>https://jlcpcb.com/partdetail/SHOUHAN-TYPE_C_16PIN_2MD_073/C2765186</t>
  </si>
  <si>
    <t>3 JLCPCB</t>
  </si>
  <si>
    <t>X1</t>
  </si>
  <si>
    <t>X322525MOB4SI</t>
  </si>
  <si>
    <t>CRYSTAL-SMD_4P-L3.2-W2.5-BL</t>
  </si>
  <si>
    <t>YXC Crystal Oscillators</t>
  </si>
  <si>
    <t>SMD3225-4P</t>
  </si>
  <si>
    <t>-40℃~+85℃ 12pF 25MHz Crystal Oscillator ±10ppm ±20ppm SMD3225-4P Crystals ROHS</t>
  </si>
  <si>
    <t>Crystals</t>
  </si>
  <si>
    <t>C9006</t>
  </si>
  <si>
    <t>https://jlcpcb.com/partdetail/YXC_CrystalOscillators-X322525MOB4SI/C9006</t>
  </si>
  <si>
    <t>X2</t>
  </si>
  <si>
    <t>X321532768KGD2SI</t>
  </si>
  <si>
    <t>OSC-SMD_L3.2-W1.5</t>
  </si>
  <si>
    <t>SMD3215-2P</t>
  </si>
  <si>
    <t>-40℃~+85℃ 12.5pF 32.768kHz Crystal Oscillator ±20ppm ±30ppm SMD3215-2P Crystals ROHS</t>
  </si>
  <si>
    <t>C620155</t>
  </si>
  <si>
    <t>https://jlcpcb.com/partdetail/649983-X321532768KGD2SI/C620155</t>
  </si>
  <si>
    <t>Sum per board</t>
  </si>
  <si>
    <t>Final Sun</t>
  </si>
  <si>
    <t>PCB Assembled Qty：2</t>
  </si>
  <si>
    <t>Component</t>
  </si>
  <si>
    <t>Capacitor(1uF)</t>
  </si>
  <si>
    <t>Capacitor(10uF)</t>
  </si>
  <si>
    <t>Capacitor(44uF)</t>
  </si>
  <si>
    <t xml:space="preserve">Capacitor(44uF) </t>
  </si>
  <si>
    <t>Capacitor(22uF)</t>
  </si>
  <si>
    <t>Capacitor(100nF)</t>
  </si>
  <si>
    <t>Capacitor(2.2uF)</t>
  </si>
  <si>
    <t>Capacitor(20pF)</t>
  </si>
  <si>
    <t>Capacitor(6.8pF)</t>
  </si>
  <si>
    <t>SD Card reader</t>
  </si>
  <si>
    <t>Screw terminal 1x02</t>
  </si>
  <si>
    <t>Pin headers 1x03 2.54mm</t>
  </si>
  <si>
    <t>Inductor(1uH)</t>
  </si>
  <si>
    <t>Inductor(1.5uH)</t>
  </si>
  <si>
    <t>Inductor(5.6uH)</t>
  </si>
  <si>
    <t>Ferrite bead</t>
  </si>
  <si>
    <t>Resistor(5.1k)</t>
  </si>
  <si>
    <t>Resistor(5.23k)</t>
  </si>
  <si>
    <t>Resistor(30.1k)</t>
  </si>
  <si>
    <t>Resistor(383ohm)</t>
  </si>
  <si>
    <t>Resistor(10k)</t>
  </si>
  <si>
    <t>Resistor(100k)</t>
  </si>
  <si>
    <t>Resistor(22.1k)</t>
  </si>
  <si>
    <t>Switch(Boot and Reset)</t>
  </si>
  <si>
    <t>STM32F103RET6</t>
  </si>
  <si>
    <t>ICM45605</t>
  </si>
  <si>
    <t>Crystal(25MHz)</t>
  </si>
  <si>
    <t>Crystal(32.768kHz)</t>
  </si>
  <si>
    <t>USB-C port</t>
  </si>
  <si>
    <t>Buck Converter</t>
  </si>
  <si>
    <t>Buck Boost</t>
  </si>
  <si>
    <t>Charging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</si>
</sst>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4" x14ac:knownFonts="1">
    <font>
      <sz val="11"/>
      <color indexed="8"/>
      <name val="Aptos Narrow"/>
      <family val="2"/>
      <scheme val="minor"/>
    </font>
    <font>
      <b/>
      <sz val="18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sz val="10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  <fill>
      <patternFill patternType="solid">
        <fgColor rgb="FF99CC0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4" borderId="0" xfId="0" applyFont="1" applyFill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4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4" borderId="0" xfId="0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4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4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3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3" borderId="0" xfId="0" applyFont="1" applyFill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4" borderId="0" xfId="0" applyFont="1" applyFill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3" borderId="0" xfId="0" applyFont="1" applyFill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3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3" borderId="0" xfId="0" applyFont="1" applyFill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4" borderId="0" xfId="0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9" fillId="4" borderId="0" xfId="0" applyFont="1" applyFill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1" fillId="4" borderId="0" xfId="0" applyFont="1" applyFill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4" borderId="0" xfId="0" applyFont="1" applyFill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4" borderId="0" xfId="0" applyFont="1" applyFill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1" fillId="4" borderId="0" xfId="0" applyFont="1" applyFill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3" fillId="4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0" fillId="0" borderId="0" xfId="0"/>
    <xf numFmtId="0" fontId="8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D52" sqref="D52"/>
    </sheetView>
  </sheetViews>
  <sheetFormatPr defaultRowHeight="15" x14ac:dyDescent="0.2"/>
  <cols>
    <col min="1" max="1" width="38.47265625" style="95" customWidth="1"/>
    <col min="2" max="2" width="24.75" customWidth="1"/>
    <col min="3" max="3" width="22.734375" bestFit="1" customWidth="1"/>
    <col min="4" max="4" width="22.328125" bestFit="1" customWidth="1"/>
    <col min="5" max="5" width="60.12890625" bestFit="1" customWidth="1"/>
    <col min="6" max="6" width="17.08203125" bestFit="1" customWidth="1"/>
    <col min="7" max="7" width="17.3515625" bestFit="1" customWidth="1"/>
    <col min="8" max="8" width="23.67578125" bestFit="1" customWidth="1"/>
    <col min="9" max="9" width="39.27734375" bestFit="1" customWidth="1"/>
    <col min="10" max="10" width="20.17578125" bestFit="1" customWidth="1"/>
    <col min="11" max="11" width="167.6171875" bestFit="1" customWidth="1"/>
    <col min="12" max="12" width="44.79296875" bestFit="1" customWidth="1"/>
    <col min="14" max="14" width="17.08203125" bestFit="1" customWidth="1"/>
    <col min="15" max="15" width="75.1953125" bestFit="1" customWidth="1"/>
    <col min="16" max="16" width="10.89453125" bestFit="1" customWidth="1"/>
    <col min="17" max="17" width="5.24609375" bestFit="1" customWidth="1"/>
    <col min="18" max="18" width="16.6796875" customWidth="1"/>
    <col min="19" max="19" width="17.3515625" bestFit="1" customWidth="1"/>
  </cols>
  <sheetData>
    <row r="1" spans="1:19" ht="23.25" x14ac:dyDescent="0.2">
      <c r="B1" s="100" t="s">
        <v>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9" x14ac:dyDescent="0.2">
      <c r="B2" s="101" t="s">
        <v>1</v>
      </c>
      <c r="C2" s="97"/>
      <c r="D2" s="97"/>
      <c r="E2" s="102" t="s">
        <v>2</v>
      </c>
      <c r="F2" s="97"/>
      <c r="G2" s="97"/>
      <c r="H2" s="97"/>
      <c r="I2" s="105" t="s">
        <v>4</v>
      </c>
      <c r="J2" s="97"/>
      <c r="K2" s="97"/>
      <c r="L2" s="97"/>
      <c r="M2" s="97"/>
    </row>
    <row r="3" spans="1:19" x14ac:dyDescent="0.2">
      <c r="B3" s="103" t="s">
        <v>335</v>
      </c>
      <c r="C3" s="97"/>
      <c r="D3" s="97"/>
      <c r="E3" s="104" t="s">
        <v>3</v>
      </c>
      <c r="F3" s="97"/>
      <c r="G3" s="97"/>
      <c r="H3" s="97"/>
      <c r="I3" s="97"/>
      <c r="J3" s="97"/>
      <c r="K3" s="97"/>
      <c r="L3" s="97"/>
      <c r="M3" s="97"/>
    </row>
    <row r="4" spans="1:19" x14ac:dyDescent="0.2">
      <c r="A4" s="106"/>
      <c r="B4" s="96" t="s">
        <v>5</v>
      </c>
      <c r="C4" s="97"/>
      <c r="D4" s="97"/>
      <c r="E4" s="97"/>
      <c r="F4" s="97"/>
      <c r="G4" s="98" t="s">
        <v>6</v>
      </c>
      <c r="H4" s="97"/>
      <c r="I4" s="97"/>
      <c r="J4" s="97"/>
      <c r="K4" s="97"/>
      <c r="L4" s="97"/>
      <c r="M4" s="97"/>
      <c r="N4" s="99" t="s">
        <v>7</v>
      </c>
      <c r="O4" s="97"/>
      <c r="P4" s="97"/>
      <c r="Q4" s="97"/>
      <c r="R4" s="97"/>
      <c r="S4" s="97"/>
    </row>
    <row r="5" spans="1:19" x14ac:dyDescent="0.2">
      <c r="A5" s="106" t="s">
        <v>336</v>
      </c>
      <c r="B5" s="1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11</v>
      </c>
      <c r="K5" s="10" t="s">
        <v>16</v>
      </c>
      <c r="L5" s="11" t="s">
        <v>17</v>
      </c>
      <c r="M5" s="12" t="s">
        <v>18</v>
      </c>
      <c r="N5" s="13" t="s">
        <v>12</v>
      </c>
      <c r="O5" s="14" t="s">
        <v>19</v>
      </c>
      <c r="P5" s="15" t="s">
        <v>20</v>
      </c>
      <c r="Q5" s="16" t="s">
        <v>21</v>
      </c>
      <c r="R5" s="17" t="s">
        <v>22</v>
      </c>
      <c r="S5" s="18" t="s">
        <v>23</v>
      </c>
    </row>
    <row r="6" spans="1:19" s="19" customFormat="1" x14ac:dyDescent="0.2">
      <c r="A6" s="19" t="s">
        <v>337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s="20" t="s">
        <v>28</v>
      </c>
      <c r="H6" t="s">
        <v>29</v>
      </c>
      <c r="I6" t="s">
        <v>30</v>
      </c>
      <c r="J6" t="s">
        <v>27</v>
      </c>
      <c r="K6" t="s">
        <v>31</v>
      </c>
      <c r="L6" t="s">
        <v>32</v>
      </c>
      <c r="N6" t="s">
        <v>33</v>
      </c>
      <c r="O6" t="s">
        <v>34</v>
      </c>
      <c r="P6" t="s">
        <v>35</v>
      </c>
      <c r="Q6">
        <v>20</v>
      </c>
      <c r="R6" t="s">
        <v>36</v>
      </c>
      <c r="S6">
        <v>5.8000000000000003E-2</v>
      </c>
    </row>
    <row r="7" spans="1:19" s="21" customFormat="1" x14ac:dyDescent="0.2">
      <c r="A7" s="21" t="s">
        <v>338</v>
      </c>
      <c r="B7" t="s">
        <v>37</v>
      </c>
      <c r="C7" t="s">
        <v>25</v>
      </c>
      <c r="D7" t="s">
        <v>38</v>
      </c>
      <c r="E7" t="s">
        <v>27</v>
      </c>
      <c r="F7" t="s">
        <v>25</v>
      </c>
      <c r="G7" s="22" t="s">
        <v>28</v>
      </c>
      <c r="H7" t="s">
        <v>39</v>
      </c>
      <c r="I7" t="s">
        <v>30</v>
      </c>
      <c r="J7" t="s">
        <v>27</v>
      </c>
      <c r="K7" t="s">
        <v>40</v>
      </c>
      <c r="L7" t="s">
        <v>32</v>
      </c>
      <c r="N7" t="s">
        <v>41</v>
      </c>
      <c r="O7" t="s">
        <v>42</v>
      </c>
      <c r="P7" t="s">
        <v>35</v>
      </c>
      <c r="Q7">
        <v>20</v>
      </c>
      <c r="R7" t="s">
        <v>36</v>
      </c>
      <c r="S7">
        <v>8.5999999999999993E-2</v>
      </c>
    </row>
    <row r="8" spans="1:19" s="23" customFormat="1" x14ac:dyDescent="0.2">
      <c r="A8" s="23" t="s">
        <v>339</v>
      </c>
      <c r="B8" t="s">
        <v>43</v>
      </c>
      <c r="C8" t="s">
        <v>25</v>
      </c>
      <c r="D8" t="s">
        <v>44</v>
      </c>
      <c r="E8" t="s">
        <v>45</v>
      </c>
      <c r="F8" t="s">
        <v>25</v>
      </c>
      <c r="G8" s="24" t="s">
        <v>46</v>
      </c>
      <c r="H8" t="s">
        <v>47</v>
      </c>
      <c r="I8" t="s">
        <v>30</v>
      </c>
      <c r="J8" t="s">
        <v>45</v>
      </c>
      <c r="K8" t="s">
        <v>48</v>
      </c>
      <c r="L8" t="s">
        <v>32</v>
      </c>
      <c r="N8" t="s">
        <v>49</v>
      </c>
      <c r="O8" t="s">
        <v>50</v>
      </c>
      <c r="P8" t="s">
        <v>35</v>
      </c>
      <c r="Q8">
        <v>8</v>
      </c>
      <c r="R8" t="s">
        <v>51</v>
      </c>
      <c r="S8">
        <v>0.2072</v>
      </c>
    </row>
    <row r="9" spans="1:19" s="25" customFormat="1" x14ac:dyDescent="0.2">
      <c r="A9" s="25" t="s">
        <v>340</v>
      </c>
      <c r="B9" t="s">
        <v>52</v>
      </c>
      <c r="C9" t="s">
        <v>25</v>
      </c>
      <c r="D9" t="s">
        <v>53</v>
      </c>
      <c r="E9" t="s">
        <v>54</v>
      </c>
      <c r="F9" t="s">
        <v>25</v>
      </c>
      <c r="G9" s="26" t="s">
        <v>28</v>
      </c>
      <c r="H9" t="s">
        <v>55</v>
      </c>
      <c r="I9" t="s">
        <v>56</v>
      </c>
      <c r="J9" t="s">
        <v>54</v>
      </c>
      <c r="K9" t="s">
        <v>57</v>
      </c>
      <c r="L9" t="s">
        <v>32</v>
      </c>
      <c r="N9" t="s">
        <v>58</v>
      </c>
      <c r="O9" t="s">
        <v>59</v>
      </c>
      <c r="P9" t="s">
        <v>60</v>
      </c>
      <c r="Q9">
        <v>20</v>
      </c>
      <c r="R9" t="s">
        <v>36</v>
      </c>
      <c r="S9">
        <v>0.11600000000000001</v>
      </c>
    </row>
    <row r="10" spans="1:19" s="27" customFormat="1" x14ac:dyDescent="0.2">
      <c r="A10" s="27" t="s">
        <v>338</v>
      </c>
      <c r="B10" t="s">
        <v>61</v>
      </c>
      <c r="C10" t="s">
        <v>25</v>
      </c>
      <c r="D10" t="s">
        <v>38</v>
      </c>
      <c r="E10" t="s">
        <v>45</v>
      </c>
      <c r="F10" t="s">
        <v>25</v>
      </c>
      <c r="G10" s="28" t="s">
        <v>28</v>
      </c>
      <c r="H10" t="s">
        <v>62</v>
      </c>
      <c r="I10" t="s">
        <v>30</v>
      </c>
      <c r="J10" t="s">
        <v>45</v>
      </c>
      <c r="K10" t="s">
        <v>63</v>
      </c>
      <c r="L10" t="s">
        <v>32</v>
      </c>
      <c r="N10" t="s">
        <v>64</v>
      </c>
      <c r="O10" t="s">
        <v>65</v>
      </c>
      <c r="P10" t="s">
        <v>35</v>
      </c>
      <c r="Q10">
        <v>20</v>
      </c>
      <c r="R10" t="s">
        <v>36</v>
      </c>
      <c r="S10">
        <v>0.19800000000000001</v>
      </c>
    </row>
    <row r="11" spans="1:19" s="29" customFormat="1" x14ac:dyDescent="0.2">
      <c r="A11" s="29" t="s">
        <v>338</v>
      </c>
      <c r="B11" t="s">
        <v>66</v>
      </c>
      <c r="C11" t="s">
        <v>25</v>
      </c>
      <c r="D11" t="s">
        <v>38</v>
      </c>
      <c r="E11" t="s">
        <v>67</v>
      </c>
      <c r="F11" t="s">
        <v>25</v>
      </c>
      <c r="G11" s="30" t="s">
        <v>28</v>
      </c>
      <c r="H11" t="s">
        <v>68</v>
      </c>
      <c r="I11" t="s">
        <v>30</v>
      </c>
      <c r="J11" t="s">
        <v>67</v>
      </c>
      <c r="K11" t="s">
        <v>69</v>
      </c>
      <c r="L11" t="s">
        <v>32</v>
      </c>
      <c r="N11" t="s">
        <v>70</v>
      </c>
      <c r="O11" t="s">
        <v>71</v>
      </c>
      <c r="P11" t="s">
        <v>35</v>
      </c>
      <c r="Q11">
        <v>20</v>
      </c>
      <c r="R11" t="s">
        <v>36</v>
      </c>
      <c r="S11">
        <v>0.114</v>
      </c>
    </row>
    <row r="12" spans="1:19" s="31" customFormat="1" x14ac:dyDescent="0.2">
      <c r="A12" s="31" t="s">
        <v>341</v>
      </c>
      <c r="B12" t="s">
        <v>72</v>
      </c>
      <c r="C12" t="s">
        <v>25</v>
      </c>
      <c r="D12" t="s">
        <v>73</v>
      </c>
      <c r="E12" t="s">
        <v>45</v>
      </c>
      <c r="F12" t="s">
        <v>25</v>
      </c>
      <c r="G12" s="32" t="s">
        <v>28</v>
      </c>
      <c r="H12" t="s">
        <v>74</v>
      </c>
      <c r="I12" t="s">
        <v>30</v>
      </c>
      <c r="J12" t="s">
        <v>45</v>
      </c>
      <c r="K12" t="s">
        <v>75</v>
      </c>
      <c r="L12" t="s">
        <v>32</v>
      </c>
      <c r="N12" t="s">
        <v>76</v>
      </c>
      <c r="O12" t="s">
        <v>77</v>
      </c>
      <c r="P12" t="s">
        <v>35</v>
      </c>
      <c r="Q12">
        <v>20</v>
      </c>
      <c r="R12" t="s">
        <v>36</v>
      </c>
      <c r="S12">
        <v>0.434</v>
      </c>
    </row>
    <row r="13" spans="1:19" s="33" customFormat="1" x14ac:dyDescent="0.2">
      <c r="A13" s="33" t="s">
        <v>342</v>
      </c>
      <c r="B13" t="s">
        <v>78</v>
      </c>
      <c r="C13" t="s">
        <v>25</v>
      </c>
      <c r="D13" t="s">
        <v>79</v>
      </c>
      <c r="E13" t="s">
        <v>54</v>
      </c>
      <c r="F13" t="s">
        <v>25</v>
      </c>
      <c r="G13" s="34" t="s">
        <v>28</v>
      </c>
      <c r="H13" t="s">
        <v>80</v>
      </c>
      <c r="I13" t="s">
        <v>56</v>
      </c>
      <c r="J13" t="s">
        <v>54</v>
      </c>
      <c r="K13" t="s">
        <v>81</v>
      </c>
      <c r="L13" t="s">
        <v>32</v>
      </c>
      <c r="N13" t="s">
        <v>82</v>
      </c>
      <c r="O13" t="s">
        <v>83</v>
      </c>
      <c r="P13" t="s">
        <v>60</v>
      </c>
      <c r="Q13">
        <v>36</v>
      </c>
      <c r="R13" t="s">
        <v>84</v>
      </c>
      <c r="S13">
        <v>3.9600000000000003E-2</v>
      </c>
    </row>
    <row r="14" spans="1:19" s="35" customFormat="1" x14ac:dyDescent="0.2">
      <c r="A14" s="35" t="s">
        <v>343</v>
      </c>
      <c r="B14" t="s">
        <v>85</v>
      </c>
      <c r="C14" t="s">
        <v>25</v>
      </c>
      <c r="D14" t="s">
        <v>86</v>
      </c>
      <c r="E14" t="s">
        <v>67</v>
      </c>
      <c r="F14" t="s">
        <v>25</v>
      </c>
      <c r="G14" s="36" t="s">
        <v>28</v>
      </c>
      <c r="H14" t="s">
        <v>87</v>
      </c>
      <c r="I14" t="s">
        <v>30</v>
      </c>
      <c r="J14" t="s">
        <v>67</v>
      </c>
      <c r="K14" t="s">
        <v>88</v>
      </c>
      <c r="L14" t="s">
        <v>32</v>
      </c>
      <c r="N14" t="s">
        <v>89</v>
      </c>
      <c r="O14" t="s">
        <v>90</v>
      </c>
      <c r="P14" t="s">
        <v>35</v>
      </c>
      <c r="Q14">
        <v>20</v>
      </c>
      <c r="R14" t="s">
        <v>36</v>
      </c>
      <c r="S14">
        <v>0.11</v>
      </c>
    </row>
    <row r="15" spans="1:19" s="37" customFormat="1" x14ac:dyDescent="0.2">
      <c r="A15" s="37" t="s">
        <v>341</v>
      </c>
      <c r="B15" t="s">
        <v>91</v>
      </c>
      <c r="C15" t="s">
        <v>25</v>
      </c>
      <c r="D15" t="s">
        <v>73</v>
      </c>
      <c r="E15" t="s">
        <v>27</v>
      </c>
      <c r="F15" t="s">
        <v>25</v>
      </c>
      <c r="G15" s="38" t="s">
        <v>28</v>
      </c>
      <c r="H15" t="s">
        <v>92</v>
      </c>
      <c r="I15" t="s">
        <v>30</v>
      </c>
      <c r="J15" t="s">
        <v>27</v>
      </c>
      <c r="K15" t="s">
        <v>93</v>
      </c>
      <c r="L15" t="s">
        <v>32</v>
      </c>
      <c r="N15" t="s">
        <v>94</v>
      </c>
      <c r="O15" t="s">
        <v>95</v>
      </c>
      <c r="P15" t="s">
        <v>60</v>
      </c>
      <c r="Q15">
        <v>8</v>
      </c>
      <c r="R15" t="s">
        <v>51</v>
      </c>
      <c r="S15">
        <v>0.316</v>
      </c>
    </row>
    <row r="16" spans="1:19" s="39" customFormat="1" x14ac:dyDescent="0.2">
      <c r="A16" s="39" t="s">
        <v>344</v>
      </c>
      <c r="B16" t="s">
        <v>96</v>
      </c>
      <c r="C16" t="s">
        <v>25</v>
      </c>
      <c r="D16" t="s">
        <v>97</v>
      </c>
      <c r="E16" t="s">
        <v>54</v>
      </c>
      <c r="F16" t="s">
        <v>25</v>
      </c>
      <c r="G16" s="40" t="s">
        <v>28</v>
      </c>
      <c r="H16" t="s">
        <v>98</v>
      </c>
      <c r="I16" t="s">
        <v>56</v>
      </c>
      <c r="J16" t="s">
        <v>54</v>
      </c>
      <c r="K16" t="s">
        <v>99</v>
      </c>
      <c r="L16" t="s">
        <v>32</v>
      </c>
      <c r="N16" t="s">
        <v>100</v>
      </c>
      <c r="O16" t="s">
        <v>101</v>
      </c>
      <c r="P16" t="s">
        <v>60</v>
      </c>
      <c r="Q16">
        <v>20</v>
      </c>
      <c r="R16" t="s">
        <v>36</v>
      </c>
      <c r="S16">
        <v>4.8000000000000001E-2</v>
      </c>
    </row>
    <row r="17" spans="1:19" s="41" customFormat="1" x14ac:dyDescent="0.2">
      <c r="A17" s="41" t="s">
        <v>344</v>
      </c>
      <c r="B17" t="s">
        <v>102</v>
      </c>
      <c r="C17" t="s">
        <v>25</v>
      </c>
      <c r="D17" t="s">
        <v>103</v>
      </c>
      <c r="E17" t="s">
        <v>54</v>
      </c>
      <c r="F17" t="s">
        <v>25</v>
      </c>
      <c r="G17" s="42" t="s">
        <v>28</v>
      </c>
      <c r="H17" t="s">
        <v>104</v>
      </c>
      <c r="I17" t="s">
        <v>56</v>
      </c>
      <c r="J17" t="s">
        <v>54</v>
      </c>
      <c r="K17" t="s">
        <v>105</v>
      </c>
      <c r="L17" t="s">
        <v>32</v>
      </c>
      <c r="N17" t="s">
        <v>106</v>
      </c>
      <c r="O17" t="s">
        <v>107</v>
      </c>
      <c r="P17" t="s">
        <v>60</v>
      </c>
      <c r="Q17">
        <v>20</v>
      </c>
      <c r="R17" t="s">
        <v>36</v>
      </c>
      <c r="S17">
        <v>3.5999999999999997E-2</v>
      </c>
    </row>
    <row r="18" spans="1:19" s="43" customFormat="1" x14ac:dyDescent="0.2">
      <c r="A18" s="43" t="s">
        <v>345</v>
      </c>
      <c r="B18" t="s">
        <v>108</v>
      </c>
      <c r="C18" t="s">
        <v>25</v>
      </c>
      <c r="D18" t="s">
        <v>86</v>
      </c>
      <c r="E18" t="s">
        <v>54</v>
      </c>
      <c r="F18" t="s">
        <v>25</v>
      </c>
      <c r="G18" s="44" t="s">
        <v>28</v>
      </c>
      <c r="H18" t="s">
        <v>109</v>
      </c>
      <c r="I18" t="s">
        <v>56</v>
      </c>
      <c r="J18" t="s">
        <v>54</v>
      </c>
      <c r="K18" t="s">
        <v>110</v>
      </c>
      <c r="L18" t="s">
        <v>32</v>
      </c>
      <c r="N18" t="s">
        <v>111</v>
      </c>
      <c r="O18" t="s">
        <v>112</v>
      </c>
      <c r="P18" t="s">
        <v>60</v>
      </c>
      <c r="Q18">
        <v>20</v>
      </c>
      <c r="R18" t="s">
        <v>36</v>
      </c>
      <c r="S18">
        <v>0.192</v>
      </c>
    </row>
    <row r="19" spans="1:19" s="45" customFormat="1" x14ac:dyDescent="0.2">
      <c r="A19" s="45" t="s">
        <v>346</v>
      </c>
      <c r="B19" t="s">
        <v>113</v>
      </c>
      <c r="C19" t="s">
        <v>25</v>
      </c>
      <c r="D19" t="s">
        <v>114</v>
      </c>
      <c r="E19" t="s">
        <v>115</v>
      </c>
      <c r="F19" t="s">
        <v>25</v>
      </c>
      <c r="G19" s="46" t="s">
        <v>28</v>
      </c>
      <c r="H19" t="s">
        <v>114</v>
      </c>
      <c r="I19" t="s">
        <v>116</v>
      </c>
      <c r="J19" t="s">
        <v>117</v>
      </c>
      <c r="K19" t="s">
        <v>118</v>
      </c>
      <c r="L19" t="s">
        <v>119</v>
      </c>
      <c r="N19" t="s">
        <v>120</v>
      </c>
      <c r="O19" t="s">
        <v>121</v>
      </c>
      <c r="P19" t="s">
        <v>60</v>
      </c>
      <c r="Q19">
        <v>2</v>
      </c>
      <c r="R19" t="s">
        <v>122</v>
      </c>
      <c r="S19">
        <v>0.34179999999999999</v>
      </c>
    </row>
    <row r="20" spans="1:19" s="47" customFormat="1" x14ac:dyDescent="0.2">
      <c r="A20" s="47" t="s">
        <v>124</v>
      </c>
      <c r="B20" t="s">
        <v>123</v>
      </c>
      <c r="C20" t="s">
        <v>25</v>
      </c>
      <c r="D20" t="s">
        <v>124</v>
      </c>
      <c r="E20" t="s">
        <v>27</v>
      </c>
      <c r="F20" t="s">
        <v>25</v>
      </c>
      <c r="G20" s="48" t="s">
        <v>125</v>
      </c>
      <c r="H20" t="s">
        <v>126</v>
      </c>
      <c r="I20" t="s">
        <v>127</v>
      </c>
      <c r="J20" t="s">
        <v>27</v>
      </c>
      <c r="K20" t="s">
        <v>128</v>
      </c>
      <c r="L20" t="s">
        <v>129</v>
      </c>
      <c r="M20" t="s">
        <v>130</v>
      </c>
      <c r="N20" t="s">
        <v>131</v>
      </c>
      <c r="O20" t="s">
        <v>132</v>
      </c>
      <c r="P20" t="s">
        <v>60</v>
      </c>
      <c r="Q20">
        <v>20</v>
      </c>
      <c r="R20" t="s">
        <v>36</v>
      </c>
      <c r="S20">
        <v>0.13600000000000001</v>
      </c>
    </row>
    <row r="21" spans="1:19" s="49" customFormat="1" x14ac:dyDescent="0.2">
      <c r="A21" s="49" t="s">
        <v>347</v>
      </c>
      <c r="B21" t="s">
        <v>133</v>
      </c>
      <c r="C21" t="s">
        <v>25</v>
      </c>
      <c r="D21" t="s">
        <v>134</v>
      </c>
      <c r="E21" t="s">
        <v>135</v>
      </c>
      <c r="F21" t="s">
        <v>25</v>
      </c>
      <c r="G21" s="50" t="s">
        <v>46</v>
      </c>
      <c r="H21" t="s">
        <v>136</v>
      </c>
      <c r="I21" t="s">
        <v>137</v>
      </c>
      <c r="J21" t="s">
        <v>138</v>
      </c>
      <c r="K21" t="s">
        <v>139</v>
      </c>
      <c r="L21" t="s">
        <v>140</v>
      </c>
      <c r="N21" t="s">
        <v>141</v>
      </c>
      <c r="O21" t="s">
        <v>142</v>
      </c>
      <c r="P21" t="s">
        <v>60</v>
      </c>
      <c r="Q21">
        <v>2</v>
      </c>
      <c r="R21" t="s">
        <v>122</v>
      </c>
      <c r="S21">
        <v>0.4536</v>
      </c>
    </row>
    <row r="22" spans="1:19" s="51" customFormat="1" x14ac:dyDescent="0.2">
      <c r="A22" s="51" t="s">
        <v>348</v>
      </c>
      <c r="B22" t="s">
        <v>143</v>
      </c>
      <c r="C22" t="s">
        <v>25</v>
      </c>
      <c r="D22" t="s">
        <v>144</v>
      </c>
      <c r="E22" t="s">
        <v>145</v>
      </c>
      <c r="F22" t="s">
        <v>25</v>
      </c>
      <c r="G22" s="52" t="s">
        <v>46</v>
      </c>
      <c r="H22" t="s">
        <v>146</v>
      </c>
      <c r="I22" t="s">
        <v>147</v>
      </c>
      <c r="J22" t="s">
        <v>138</v>
      </c>
      <c r="K22" t="s">
        <v>148</v>
      </c>
      <c r="L22" t="s">
        <v>149</v>
      </c>
      <c r="N22" t="s">
        <v>150</v>
      </c>
      <c r="O22" t="s">
        <v>151</v>
      </c>
      <c r="P22" t="s">
        <v>60</v>
      </c>
      <c r="Q22">
        <v>6</v>
      </c>
      <c r="R22" t="s">
        <v>152</v>
      </c>
      <c r="S22">
        <v>9.9000000000000005E-2</v>
      </c>
    </row>
    <row r="23" spans="1:19" s="53" customFormat="1" x14ac:dyDescent="0.2">
      <c r="A23" s="53" t="s">
        <v>349</v>
      </c>
      <c r="B23" t="s">
        <v>153</v>
      </c>
      <c r="C23" t="s">
        <v>25</v>
      </c>
      <c r="D23" t="s">
        <v>154</v>
      </c>
      <c r="E23" t="s">
        <v>155</v>
      </c>
      <c r="F23" t="s">
        <v>25</v>
      </c>
      <c r="G23" s="54" t="s">
        <v>28</v>
      </c>
      <c r="H23" t="s">
        <v>156</v>
      </c>
      <c r="I23" t="s">
        <v>56</v>
      </c>
      <c r="J23" t="s">
        <v>157</v>
      </c>
      <c r="K23" t="s">
        <v>158</v>
      </c>
      <c r="L23" t="s">
        <v>159</v>
      </c>
      <c r="N23" t="s">
        <v>160</v>
      </c>
      <c r="O23" t="s">
        <v>161</v>
      </c>
      <c r="P23" t="s">
        <v>60</v>
      </c>
      <c r="Q23">
        <v>5</v>
      </c>
      <c r="R23" t="s">
        <v>162</v>
      </c>
      <c r="S23">
        <v>0.498</v>
      </c>
    </row>
    <row r="24" spans="1:19" s="55" customFormat="1" x14ac:dyDescent="0.2">
      <c r="A24" s="55" t="s">
        <v>350</v>
      </c>
      <c r="B24" t="s">
        <v>163</v>
      </c>
      <c r="C24" t="s">
        <v>25</v>
      </c>
      <c r="D24" t="s">
        <v>164</v>
      </c>
      <c r="E24" t="s">
        <v>165</v>
      </c>
      <c r="F24" t="s">
        <v>25</v>
      </c>
      <c r="G24" s="56" t="s">
        <v>28</v>
      </c>
      <c r="H24" t="s">
        <v>166</v>
      </c>
      <c r="I24" t="s">
        <v>167</v>
      </c>
      <c r="J24" t="s">
        <v>168</v>
      </c>
      <c r="K24" t="s">
        <v>169</v>
      </c>
      <c r="L24" t="s">
        <v>159</v>
      </c>
      <c r="N24" t="s">
        <v>170</v>
      </c>
      <c r="O24" t="s">
        <v>171</v>
      </c>
      <c r="P24" t="s">
        <v>60</v>
      </c>
      <c r="Q24">
        <v>2</v>
      </c>
      <c r="R24" t="s">
        <v>122</v>
      </c>
      <c r="S24">
        <v>2.59</v>
      </c>
    </row>
    <row r="25" spans="1:19" s="57" customFormat="1" x14ac:dyDescent="0.2">
      <c r="A25" s="57" t="s">
        <v>351</v>
      </c>
      <c r="B25" t="s">
        <v>172</v>
      </c>
      <c r="C25" t="s">
        <v>25</v>
      </c>
      <c r="D25" t="s">
        <v>173</v>
      </c>
      <c r="E25" t="s">
        <v>174</v>
      </c>
      <c r="F25" t="s">
        <v>25</v>
      </c>
      <c r="G25" s="58" t="s">
        <v>28</v>
      </c>
      <c r="H25" t="s">
        <v>175</v>
      </c>
      <c r="I25" t="s">
        <v>176</v>
      </c>
      <c r="J25" t="s">
        <v>177</v>
      </c>
      <c r="K25" t="s">
        <v>178</v>
      </c>
      <c r="L25" t="s">
        <v>159</v>
      </c>
      <c r="N25" t="s">
        <v>179</v>
      </c>
      <c r="O25" t="s">
        <v>180</v>
      </c>
      <c r="P25" t="s">
        <v>60</v>
      </c>
      <c r="Q25">
        <v>15</v>
      </c>
      <c r="R25" t="s">
        <v>181</v>
      </c>
      <c r="S25">
        <v>0.47549999999999998</v>
      </c>
    </row>
    <row r="26" spans="1:19" s="59" customFormat="1" x14ac:dyDescent="0.2">
      <c r="A26" s="59" t="s">
        <v>352</v>
      </c>
      <c r="B26" t="s">
        <v>182</v>
      </c>
      <c r="C26" t="s">
        <v>25</v>
      </c>
      <c r="D26" t="s">
        <v>183</v>
      </c>
      <c r="E26" t="s">
        <v>184</v>
      </c>
      <c r="F26" t="s">
        <v>25</v>
      </c>
      <c r="G26" s="60" t="s">
        <v>28</v>
      </c>
      <c r="H26" t="s">
        <v>183</v>
      </c>
      <c r="I26" t="s">
        <v>185</v>
      </c>
      <c r="J26" t="s">
        <v>67</v>
      </c>
      <c r="K26" t="s">
        <v>186</v>
      </c>
      <c r="L26" t="s">
        <v>187</v>
      </c>
      <c r="N26" t="s">
        <v>188</v>
      </c>
      <c r="O26" t="s">
        <v>189</v>
      </c>
      <c r="P26" t="s">
        <v>60</v>
      </c>
      <c r="Q26">
        <v>20</v>
      </c>
      <c r="R26" t="s">
        <v>36</v>
      </c>
      <c r="S26">
        <v>9.1999999999999998E-2</v>
      </c>
    </row>
    <row r="27" spans="1:19" s="61" customFormat="1" x14ac:dyDescent="0.2">
      <c r="A27" s="61" t="s">
        <v>353</v>
      </c>
      <c r="B27" t="s">
        <v>190</v>
      </c>
      <c r="C27" t="s">
        <v>25</v>
      </c>
      <c r="D27" t="s">
        <v>191</v>
      </c>
      <c r="E27" t="s">
        <v>54</v>
      </c>
      <c r="F27" t="s">
        <v>25</v>
      </c>
      <c r="G27" s="62" t="s">
        <v>125</v>
      </c>
      <c r="H27" t="s">
        <v>192</v>
      </c>
      <c r="I27" t="s">
        <v>193</v>
      </c>
      <c r="J27" t="s">
        <v>54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60</v>
      </c>
      <c r="Q27">
        <v>20</v>
      </c>
      <c r="R27" t="s">
        <v>36</v>
      </c>
      <c r="S27">
        <v>1.4E-2</v>
      </c>
    </row>
    <row r="28" spans="1:19" s="63" customFormat="1" x14ac:dyDescent="0.2">
      <c r="A28" s="63" t="s">
        <v>354</v>
      </c>
      <c r="B28" t="s">
        <v>199</v>
      </c>
      <c r="C28" t="s">
        <v>25</v>
      </c>
      <c r="D28" t="s">
        <v>200</v>
      </c>
      <c r="E28" t="s">
        <v>54</v>
      </c>
      <c r="F28" t="s">
        <v>25</v>
      </c>
      <c r="G28" s="64" t="s">
        <v>125</v>
      </c>
      <c r="H28" t="s">
        <v>201</v>
      </c>
      <c r="I28" t="s">
        <v>202</v>
      </c>
      <c r="J28" t="s">
        <v>54</v>
      </c>
      <c r="K28" t="s">
        <v>203</v>
      </c>
      <c r="L28" t="s">
        <v>195</v>
      </c>
      <c r="M28" t="s">
        <v>204</v>
      </c>
      <c r="N28" t="s">
        <v>205</v>
      </c>
      <c r="O28" t="s">
        <v>206</v>
      </c>
      <c r="P28" t="s">
        <v>60</v>
      </c>
      <c r="Q28">
        <v>20</v>
      </c>
      <c r="R28" t="s">
        <v>36</v>
      </c>
      <c r="S28">
        <v>0.02</v>
      </c>
    </row>
    <row r="29" spans="1:19" s="65" customFormat="1" x14ac:dyDescent="0.2">
      <c r="A29" s="65" t="s">
        <v>355</v>
      </c>
      <c r="B29" t="s">
        <v>207</v>
      </c>
      <c r="C29" t="s">
        <v>25</v>
      </c>
      <c r="D29" t="s">
        <v>208</v>
      </c>
      <c r="E29" t="s">
        <v>54</v>
      </c>
      <c r="F29" t="s">
        <v>25</v>
      </c>
      <c r="G29" s="66" t="s">
        <v>125</v>
      </c>
      <c r="H29" t="s">
        <v>209</v>
      </c>
      <c r="I29" t="s">
        <v>210</v>
      </c>
      <c r="J29" t="s">
        <v>54</v>
      </c>
      <c r="K29" t="s">
        <v>211</v>
      </c>
      <c r="L29" t="s">
        <v>195</v>
      </c>
      <c r="M29" t="s">
        <v>212</v>
      </c>
      <c r="N29" t="s">
        <v>213</v>
      </c>
      <c r="O29" t="s">
        <v>214</v>
      </c>
      <c r="P29" t="s">
        <v>60</v>
      </c>
      <c r="Q29">
        <v>20</v>
      </c>
      <c r="R29" t="s">
        <v>36</v>
      </c>
      <c r="S29">
        <v>1.2E-2</v>
      </c>
    </row>
    <row r="30" spans="1:19" s="67" customFormat="1" x14ac:dyDescent="0.2">
      <c r="A30" s="67" t="s">
        <v>356</v>
      </c>
      <c r="B30" t="s">
        <v>215</v>
      </c>
      <c r="C30" t="s">
        <v>25</v>
      </c>
      <c r="D30" t="s">
        <v>216</v>
      </c>
      <c r="E30" t="s">
        <v>54</v>
      </c>
      <c r="F30" t="s">
        <v>25</v>
      </c>
      <c r="G30" s="68" t="s">
        <v>46</v>
      </c>
      <c r="H30" t="s">
        <v>217</v>
      </c>
      <c r="I30" t="s">
        <v>193</v>
      </c>
      <c r="J30" t="s">
        <v>54</v>
      </c>
      <c r="K30" t="s">
        <v>218</v>
      </c>
      <c r="L30" t="s">
        <v>195</v>
      </c>
      <c r="M30" t="s">
        <v>219</v>
      </c>
      <c r="N30" t="s">
        <v>220</v>
      </c>
      <c r="O30" t="s">
        <v>221</v>
      </c>
      <c r="P30" t="s">
        <v>60</v>
      </c>
      <c r="Q30">
        <v>20</v>
      </c>
      <c r="R30" t="s">
        <v>36</v>
      </c>
      <c r="S30">
        <v>0.01</v>
      </c>
    </row>
    <row r="31" spans="1:19" s="69" customFormat="1" x14ac:dyDescent="0.2">
      <c r="A31" s="69" t="s">
        <v>357</v>
      </c>
      <c r="B31" t="s">
        <v>222</v>
      </c>
      <c r="C31" t="s">
        <v>25</v>
      </c>
      <c r="D31" t="s">
        <v>223</v>
      </c>
      <c r="E31" t="s">
        <v>54</v>
      </c>
      <c r="F31" t="s">
        <v>25</v>
      </c>
      <c r="G31" s="70" t="s">
        <v>125</v>
      </c>
      <c r="H31" t="s">
        <v>224</v>
      </c>
      <c r="I31" t="s">
        <v>225</v>
      </c>
      <c r="J31" t="s">
        <v>54</v>
      </c>
      <c r="K31" t="s">
        <v>226</v>
      </c>
      <c r="L31" t="s">
        <v>195</v>
      </c>
      <c r="M31" t="s">
        <v>227</v>
      </c>
      <c r="N31" t="s">
        <v>228</v>
      </c>
      <c r="O31" t="s">
        <v>229</v>
      </c>
      <c r="P31" t="s">
        <v>60</v>
      </c>
      <c r="Q31">
        <v>42</v>
      </c>
      <c r="R31" t="s">
        <v>230</v>
      </c>
      <c r="S31">
        <v>3.78E-2</v>
      </c>
    </row>
    <row r="32" spans="1:19" s="71" customFormat="1" x14ac:dyDescent="0.2">
      <c r="A32" s="71" t="s">
        <v>358</v>
      </c>
      <c r="B32" t="s">
        <v>231</v>
      </c>
      <c r="C32" t="s">
        <v>25</v>
      </c>
      <c r="D32" t="s">
        <v>232</v>
      </c>
      <c r="E32" t="s">
        <v>27</v>
      </c>
      <c r="F32" t="s">
        <v>25</v>
      </c>
      <c r="G32" s="72" t="s">
        <v>125</v>
      </c>
      <c r="H32" t="s">
        <v>233</v>
      </c>
      <c r="I32" t="s">
        <v>193</v>
      </c>
      <c r="J32" t="s">
        <v>27</v>
      </c>
      <c r="K32" t="s">
        <v>234</v>
      </c>
      <c r="L32" t="s">
        <v>195</v>
      </c>
      <c r="M32" t="s">
        <v>235</v>
      </c>
      <c r="N32" t="s">
        <v>236</v>
      </c>
      <c r="O32" t="s">
        <v>237</v>
      </c>
      <c r="P32" t="s">
        <v>35</v>
      </c>
      <c r="Q32">
        <v>20</v>
      </c>
      <c r="R32" t="s">
        <v>36</v>
      </c>
      <c r="S32">
        <v>1.2E-2</v>
      </c>
    </row>
    <row r="33" spans="1:19" s="73" customFormat="1" x14ac:dyDescent="0.2">
      <c r="A33" s="73" t="s">
        <v>359</v>
      </c>
      <c r="B33" t="s">
        <v>238</v>
      </c>
      <c r="C33" t="s">
        <v>25</v>
      </c>
      <c r="D33" t="s">
        <v>239</v>
      </c>
      <c r="E33" t="s">
        <v>54</v>
      </c>
      <c r="F33" t="s">
        <v>25</v>
      </c>
      <c r="G33" s="74" t="s">
        <v>125</v>
      </c>
      <c r="H33" t="s">
        <v>240</v>
      </c>
      <c r="I33" t="s">
        <v>241</v>
      </c>
      <c r="J33" t="s">
        <v>54</v>
      </c>
      <c r="K33" t="s">
        <v>242</v>
      </c>
      <c r="L33" t="s">
        <v>195</v>
      </c>
      <c r="M33" t="s">
        <v>243</v>
      </c>
      <c r="N33" t="s">
        <v>244</v>
      </c>
      <c r="O33" t="s">
        <v>245</v>
      </c>
      <c r="P33" t="s">
        <v>60</v>
      </c>
      <c r="Q33">
        <v>20</v>
      </c>
      <c r="R33" t="s">
        <v>36</v>
      </c>
      <c r="S33">
        <v>1.6E-2</v>
      </c>
    </row>
    <row r="34" spans="1:19" s="75" customFormat="1" x14ac:dyDescent="0.2">
      <c r="A34" s="75" t="s">
        <v>360</v>
      </c>
      <c r="B34" t="s">
        <v>246</v>
      </c>
      <c r="C34" t="s">
        <v>25</v>
      </c>
      <c r="D34" t="s">
        <v>247</v>
      </c>
      <c r="E34" t="s">
        <v>248</v>
      </c>
      <c r="F34" t="s">
        <v>25</v>
      </c>
      <c r="G34" s="76" t="s">
        <v>28</v>
      </c>
      <c r="H34" t="s">
        <v>247</v>
      </c>
      <c r="I34" t="s">
        <v>249</v>
      </c>
      <c r="J34" t="s">
        <v>250</v>
      </c>
      <c r="K34" t="s">
        <v>251</v>
      </c>
      <c r="L34" t="s">
        <v>252</v>
      </c>
      <c r="N34" t="s">
        <v>253</v>
      </c>
      <c r="O34" t="s">
        <v>254</v>
      </c>
      <c r="P34" t="s">
        <v>35</v>
      </c>
      <c r="Q34">
        <v>8</v>
      </c>
      <c r="R34" t="s">
        <v>51</v>
      </c>
      <c r="S34">
        <v>0.3448</v>
      </c>
    </row>
    <row r="35" spans="1:19" s="77" customFormat="1" x14ac:dyDescent="0.2">
      <c r="A35" s="77" t="s">
        <v>361</v>
      </c>
      <c r="B35" t="s">
        <v>255</v>
      </c>
      <c r="C35" t="s">
        <v>25</v>
      </c>
      <c r="D35" t="s">
        <v>256</v>
      </c>
      <c r="E35" t="s">
        <v>257</v>
      </c>
      <c r="F35" t="s">
        <v>25</v>
      </c>
      <c r="G35" s="78" t="s">
        <v>46</v>
      </c>
      <c r="H35" t="s">
        <v>258</v>
      </c>
      <c r="I35" t="s">
        <v>259</v>
      </c>
      <c r="J35" t="s">
        <v>260</v>
      </c>
      <c r="K35" t="s">
        <v>261</v>
      </c>
      <c r="L35" t="s">
        <v>262</v>
      </c>
      <c r="N35" t="s">
        <v>263</v>
      </c>
      <c r="O35" t="s">
        <v>264</v>
      </c>
      <c r="P35" t="s">
        <v>60</v>
      </c>
      <c r="Q35">
        <v>2</v>
      </c>
      <c r="R35" t="s">
        <v>122</v>
      </c>
      <c r="S35">
        <v>10.0314</v>
      </c>
    </row>
    <row r="36" spans="1:19" s="79" customFormat="1" x14ac:dyDescent="0.2">
      <c r="A36" s="79" t="s">
        <v>368</v>
      </c>
      <c r="B36" t="s">
        <v>265</v>
      </c>
      <c r="C36" t="s">
        <v>25</v>
      </c>
      <c r="D36" t="s">
        <v>266</v>
      </c>
      <c r="E36" t="s">
        <v>267</v>
      </c>
      <c r="F36" t="s">
        <v>25</v>
      </c>
      <c r="G36" s="80" t="s">
        <v>28</v>
      </c>
      <c r="H36" t="s">
        <v>266</v>
      </c>
      <c r="I36" t="s">
        <v>268</v>
      </c>
      <c r="J36" t="s">
        <v>269</v>
      </c>
      <c r="K36" t="s">
        <v>270</v>
      </c>
      <c r="L36" t="s">
        <v>271</v>
      </c>
      <c r="N36" t="s">
        <v>272</v>
      </c>
      <c r="O36" t="s">
        <v>273</v>
      </c>
      <c r="P36" t="s">
        <v>60</v>
      </c>
      <c r="Q36">
        <v>2</v>
      </c>
      <c r="R36" t="s">
        <v>122</v>
      </c>
      <c r="S36">
        <v>9.1731999999999996</v>
      </c>
    </row>
    <row r="37" spans="1:19" s="81" customFormat="1" x14ac:dyDescent="0.2">
      <c r="A37" s="81" t="s">
        <v>275</v>
      </c>
      <c r="B37" t="s">
        <v>274</v>
      </c>
      <c r="C37" t="s">
        <v>25</v>
      </c>
      <c r="D37" t="s">
        <v>275</v>
      </c>
      <c r="E37" t="s">
        <v>276</v>
      </c>
      <c r="F37" t="s">
        <v>25</v>
      </c>
      <c r="G37" s="82" t="s">
        <v>28</v>
      </c>
      <c r="H37" t="s">
        <v>275</v>
      </c>
      <c r="I37" t="s">
        <v>277</v>
      </c>
      <c r="J37" t="s">
        <v>278</v>
      </c>
      <c r="K37" t="s">
        <v>279</v>
      </c>
      <c r="L37" t="s">
        <v>280</v>
      </c>
      <c r="N37" t="s">
        <v>281</v>
      </c>
      <c r="O37" t="s">
        <v>282</v>
      </c>
      <c r="P37" t="s">
        <v>60</v>
      </c>
      <c r="Q37">
        <v>2</v>
      </c>
      <c r="R37" t="s">
        <v>122</v>
      </c>
      <c r="S37">
        <v>2.1092</v>
      </c>
    </row>
    <row r="38" spans="1:19" s="83" customFormat="1" x14ac:dyDescent="0.2">
      <c r="A38" s="83" t="s">
        <v>367</v>
      </c>
      <c r="B38" t="s">
        <v>283</v>
      </c>
      <c r="C38" t="s">
        <v>25</v>
      </c>
      <c r="D38" t="s">
        <v>284</v>
      </c>
      <c r="E38" t="s">
        <v>285</v>
      </c>
      <c r="F38" t="s">
        <v>25</v>
      </c>
      <c r="G38" s="84" t="s">
        <v>28</v>
      </c>
      <c r="H38" t="s">
        <v>284</v>
      </c>
      <c r="I38" t="s">
        <v>268</v>
      </c>
      <c r="J38" t="s">
        <v>286</v>
      </c>
      <c r="K38" t="s">
        <v>287</v>
      </c>
      <c r="L38" t="s">
        <v>288</v>
      </c>
      <c r="N38" t="s">
        <v>289</v>
      </c>
      <c r="O38" t="s">
        <v>290</v>
      </c>
      <c r="P38" t="s">
        <v>60</v>
      </c>
      <c r="Q38">
        <v>2</v>
      </c>
      <c r="R38" t="s">
        <v>122</v>
      </c>
      <c r="S38">
        <v>1.6679999999999999</v>
      </c>
    </row>
    <row r="39" spans="1:19" s="85" customFormat="1" x14ac:dyDescent="0.2">
      <c r="A39" s="85" t="s">
        <v>366</v>
      </c>
      <c r="B39" t="s">
        <v>291</v>
      </c>
      <c r="C39" t="s">
        <v>25</v>
      </c>
      <c r="D39" t="s">
        <v>292</v>
      </c>
      <c r="E39" t="s">
        <v>293</v>
      </c>
      <c r="F39" t="s">
        <v>25</v>
      </c>
      <c r="G39" s="86" t="s">
        <v>28</v>
      </c>
      <c r="H39" t="s">
        <v>294</v>
      </c>
      <c r="I39" t="s">
        <v>268</v>
      </c>
      <c r="J39" t="s">
        <v>295</v>
      </c>
      <c r="K39" t="s">
        <v>296</v>
      </c>
      <c r="L39" t="s">
        <v>288</v>
      </c>
      <c r="N39" t="s">
        <v>297</v>
      </c>
      <c r="O39" t="s">
        <v>298</v>
      </c>
      <c r="P39" t="s">
        <v>60</v>
      </c>
      <c r="Q39">
        <v>2</v>
      </c>
      <c r="R39" t="s">
        <v>122</v>
      </c>
      <c r="S39">
        <v>1.8566</v>
      </c>
    </row>
    <row r="40" spans="1:19" s="87" customFormat="1" x14ac:dyDescent="0.2">
      <c r="A40" s="87" t="s">
        <v>362</v>
      </c>
      <c r="B40" t="s">
        <v>299</v>
      </c>
      <c r="C40" t="s">
        <v>25</v>
      </c>
      <c r="D40" t="s">
        <v>301</v>
      </c>
      <c r="E40" t="s">
        <v>300</v>
      </c>
      <c r="F40" t="s">
        <v>25</v>
      </c>
      <c r="G40" s="88" t="s">
        <v>46</v>
      </c>
      <c r="H40" t="s">
        <v>301</v>
      </c>
      <c r="I40" t="s">
        <v>302</v>
      </c>
      <c r="J40" t="s">
        <v>303</v>
      </c>
      <c r="K40" t="s">
        <v>304</v>
      </c>
      <c r="L40" t="s">
        <v>25</v>
      </c>
      <c r="N40" t="s">
        <v>305</v>
      </c>
      <c r="O40" t="s">
        <v>306</v>
      </c>
      <c r="P40" t="s">
        <v>60</v>
      </c>
      <c r="Q40">
        <v>2</v>
      </c>
      <c r="R40" t="s">
        <v>122</v>
      </c>
      <c r="S40">
        <v>17.664400000000001</v>
      </c>
    </row>
    <row r="41" spans="1:19" s="89" customFormat="1" x14ac:dyDescent="0.2">
      <c r="A41" s="89" t="s">
        <v>365</v>
      </c>
      <c r="B41" t="s">
        <v>307</v>
      </c>
      <c r="C41" t="s">
        <v>25</v>
      </c>
      <c r="D41" t="s">
        <v>308</v>
      </c>
      <c r="E41" t="s">
        <v>309</v>
      </c>
      <c r="F41" t="s">
        <v>25</v>
      </c>
      <c r="G41" s="90" t="s">
        <v>28</v>
      </c>
      <c r="H41" t="s">
        <v>310</v>
      </c>
      <c r="I41" t="s">
        <v>311</v>
      </c>
      <c r="J41" t="s">
        <v>117</v>
      </c>
      <c r="K41" t="s">
        <v>312</v>
      </c>
      <c r="L41" t="s">
        <v>313</v>
      </c>
      <c r="N41" t="s">
        <v>314</v>
      </c>
      <c r="O41" t="s">
        <v>315</v>
      </c>
      <c r="P41" t="s">
        <v>60</v>
      </c>
      <c r="Q41">
        <v>3</v>
      </c>
      <c r="R41" t="s">
        <v>316</v>
      </c>
      <c r="S41">
        <v>0.1842</v>
      </c>
    </row>
    <row r="42" spans="1:19" s="91" customFormat="1" x14ac:dyDescent="0.2">
      <c r="A42" s="91" t="s">
        <v>363</v>
      </c>
      <c r="B42" t="s">
        <v>317</v>
      </c>
      <c r="C42" t="s">
        <v>25</v>
      </c>
      <c r="D42" t="s">
        <v>318</v>
      </c>
      <c r="E42" t="s">
        <v>319</v>
      </c>
      <c r="F42" t="s">
        <v>25</v>
      </c>
      <c r="G42" s="92" t="s">
        <v>28</v>
      </c>
      <c r="H42" t="s">
        <v>318</v>
      </c>
      <c r="I42" t="s">
        <v>320</v>
      </c>
      <c r="J42" t="s">
        <v>321</v>
      </c>
      <c r="K42" t="s">
        <v>322</v>
      </c>
      <c r="L42" t="s">
        <v>323</v>
      </c>
      <c r="N42" t="s">
        <v>324</v>
      </c>
      <c r="O42" t="s">
        <v>325</v>
      </c>
      <c r="P42" t="s">
        <v>35</v>
      </c>
      <c r="Q42">
        <v>6</v>
      </c>
      <c r="R42" t="s">
        <v>152</v>
      </c>
      <c r="S42">
        <v>0.39900000000000002</v>
      </c>
    </row>
    <row r="43" spans="1:19" s="93" customFormat="1" x14ac:dyDescent="0.2">
      <c r="A43" s="93" t="s">
        <v>364</v>
      </c>
      <c r="B43" t="s">
        <v>326</v>
      </c>
      <c r="C43" t="s">
        <v>25</v>
      </c>
      <c r="D43" t="s">
        <v>327</v>
      </c>
      <c r="E43" t="s">
        <v>328</v>
      </c>
      <c r="F43" t="s">
        <v>25</v>
      </c>
      <c r="G43" s="94" t="s">
        <v>28</v>
      </c>
      <c r="H43" t="s">
        <v>327</v>
      </c>
      <c r="I43" t="s">
        <v>320</v>
      </c>
      <c r="J43" t="s">
        <v>329</v>
      </c>
      <c r="K43" t="s">
        <v>330</v>
      </c>
      <c r="L43" t="s">
        <v>323</v>
      </c>
      <c r="N43" t="s">
        <v>331</v>
      </c>
      <c r="O43" t="s">
        <v>332</v>
      </c>
      <c r="P43" t="s">
        <v>60</v>
      </c>
      <c r="Q43">
        <v>5</v>
      </c>
      <c r="R43" t="s">
        <v>162</v>
      </c>
      <c r="S43">
        <v>1.0615000000000001</v>
      </c>
    </row>
    <row r="44" spans="1:19" x14ac:dyDescent="0.2">
      <c r="R44" t="s">
        <v>333</v>
      </c>
      <c r="S44">
        <f>SUM(S6:S43)</f>
        <v>51.254800000000003</v>
      </c>
    </row>
    <row r="45" spans="1:19" x14ac:dyDescent="0.2">
      <c r="R45" t="s">
        <v>334</v>
      </c>
      <c r="S45" cm="1">
        <f t="array" ref="S45">SUM(S6:S43*2)</f>
        <v>102.50960000000001</v>
      </c>
    </row>
  </sheetData>
  <mergeCells count="9">
    <mergeCell ref="B4:F4"/>
    <mergeCell ref="G4:M4"/>
    <mergeCell ref="N4:S4"/>
    <mergeCell ref="B1:M1"/>
    <mergeCell ref="B2:D2"/>
    <mergeCell ref="E2:H2"/>
    <mergeCell ref="B3:D3"/>
    <mergeCell ref="E3:H3"/>
    <mergeCell ref="I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 BOM Tool - BOM 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2025-12-23T04:14:10Z</dcterms:created>
</cp:coreProperties>
</file>